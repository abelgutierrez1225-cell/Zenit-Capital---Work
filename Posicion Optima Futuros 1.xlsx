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ama Mendoza\Documents\AAGA Proyecto\"/>
    </mc:Choice>
  </mc:AlternateContent>
  <xr:revisionPtr revIDLastSave="0" documentId="13_ncr:1_{4D966920-53DB-4F50-8127-8AE0BB293F6A}" xr6:coauthVersionLast="47" xr6:coauthVersionMax="47" xr10:uidLastSave="{00000000-0000-0000-0000-000000000000}"/>
  <bookViews>
    <workbookView xWindow="57480" yWindow="-120" windowWidth="29040" windowHeight="15840" xr2:uid="{6B312EEA-B99F-4D5F-B60B-C062A5909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1" l="1"/>
  <c r="L54" i="1"/>
  <c r="J44" i="1"/>
  <c r="I47" i="1"/>
  <c r="H3" i="1"/>
  <c r="J3" i="1"/>
  <c r="L3" i="1"/>
  <c r="I18" i="1"/>
  <c r="H18" i="1"/>
  <c r="I3" i="1"/>
  <c r="I4" i="1"/>
  <c r="I5" i="1"/>
  <c r="I6" i="1"/>
  <c r="H4" i="1"/>
  <c r="H5" i="1"/>
  <c r="H6" i="1"/>
  <c r="I8" i="1"/>
  <c r="I9" i="1"/>
  <c r="I10" i="1"/>
  <c r="I11" i="1"/>
  <c r="I12" i="1"/>
  <c r="I13" i="1"/>
  <c r="I14" i="1"/>
  <c r="I15" i="1"/>
  <c r="I16" i="1"/>
  <c r="I17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8" i="1"/>
  <c r="I49" i="1"/>
  <c r="I50" i="1"/>
  <c r="I51" i="1"/>
  <c r="I52" i="1"/>
  <c r="I53" i="1"/>
  <c r="I54" i="1"/>
  <c r="I7" i="1"/>
  <c r="H8" i="1"/>
  <c r="H9" i="1"/>
  <c r="H10" i="1"/>
  <c r="H11" i="1"/>
  <c r="H12" i="1"/>
  <c r="H13" i="1"/>
  <c r="H14" i="1"/>
  <c r="H15" i="1"/>
  <c r="H16" i="1"/>
  <c r="J16" i="1" s="1"/>
  <c r="L16" i="1" s="1"/>
  <c r="H17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J33" i="1" s="1"/>
  <c r="L33" i="1" s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7" i="1"/>
  <c r="J30" i="1" l="1"/>
  <c r="Q4" i="1" l="1"/>
  <c r="R4" i="1" l="1"/>
  <c r="S4" i="1" s="1"/>
  <c r="J49" i="1"/>
  <c r="L49" i="1" s="1"/>
  <c r="J51" i="1"/>
  <c r="L51" i="1" s="1"/>
  <c r="J50" i="1"/>
  <c r="L50" i="1" s="1"/>
  <c r="J47" i="1"/>
  <c r="L47" i="1" s="1"/>
  <c r="J43" i="1"/>
  <c r="L43" i="1" s="1"/>
  <c r="L44" i="1"/>
  <c r="J45" i="1"/>
  <c r="L45" i="1" s="1"/>
  <c r="J46" i="1"/>
  <c r="L46" i="1" s="1"/>
  <c r="J48" i="1"/>
  <c r="L48" i="1" s="1"/>
  <c r="J42" i="1"/>
  <c r="L42" i="1" s="1"/>
  <c r="J40" i="1"/>
  <c r="L40" i="1" s="1"/>
  <c r="J41" i="1"/>
  <c r="L41" i="1" s="1"/>
  <c r="J37" i="1"/>
  <c r="L37" i="1" s="1"/>
  <c r="J38" i="1"/>
  <c r="L38" i="1" s="1"/>
  <c r="J39" i="1"/>
  <c r="L39" i="1" s="1"/>
  <c r="J36" i="1"/>
  <c r="L36" i="1" s="1"/>
  <c r="J35" i="1"/>
  <c r="L35" i="1" s="1"/>
  <c r="J34" i="1"/>
  <c r="L34" i="1" s="1"/>
  <c r="J31" i="1"/>
  <c r="L31" i="1" s="1"/>
  <c r="L30" i="1"/>
  <c r="J29" i="1"/>
  <c r="L29" i="1" s="1"/>
  <c r="J28" i="1"/>
  <c r="L28" i="1" s="1"/>
  <c r="J27" i="1"/>
  <c r="L27" i="1" s="1"/>
  <c r="J25" i="1"/>
  <c r="L25" i="1" s="1"/>
  <c r="J7" i="1"/>
  <c r="L7" i="1" s="1"/>
  <c r="J22" i="1"/>
  <c r="L22" i="1" s="1"/>
  <c r="J23" i="1"/>
  <c r="L23" i="1" s="1"/>
  <c r="J24" i="1"/>
  <c r="L24" i="1" s="1"/>
  <c r="J21" i="1"/>
  <c r="L21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9" i="1"/>
  <c r="L19" i="1" s="1"/>
  <c r="J20" i="1"/>
  <c r="L20" i="1" s="1"/>
  <c r="J15" i="1"/>
  <c r="L15" i="1" s="1"/>
  <c r="J17" i="1"/>
  <c r="L17" i="1" s="1"/>
  <c r="J18" i="1"/>
  <c r="L18" i="1" s="1"/>
  <c r="J6" i="1"/>
  <c r="L6" i="1" s="1"/>
  <c r="J5" i="1"/>
  <c r="L5" i="1" s="1"/>
  <c r="J4" i="1"/>
  <c r="L4" i="1" s="1"/>
  <c r="R3" i="1"/>
  <c r="Q2" i="1"/>
  <c r="J53" i="1" l="1"/>
  <c r="J52" i="1"/>
  <c r="L52" i="1" s="1"/>
  <c r="J32" i="1"/>
  <c r="L32" i="1" s="1"/>
  <c r="J26" i="1"/>
  <c r="L26" i="1" s="1"/>
</calcChain>
</file>

<file path=xl/sharedStrings.xml><?xml version="1.0" encoding="utf-8"?>
<sst xmlns="http://schemas.openxmlformats.org/spreadsheetml/2006/main" count="66" uniqueCount="66">
  <si>
    <t>INSTRUMENTO</t>
  </si>
  <si>
    <t>POSICION AVG</t>
  </si>
  <si>
    <t>MULTIPIER</t>
  </si>
  <si>
    <t>FX 27.03.2026</t>
  </si>
  <si>
    <t>CC</t>
  </si>
  <si>
    <t>ZM</t>
  </si>
  <si>
    <t>D</t>
  </si>
  <si>
    <t>W</t>
  </si>
  <si>
    <t>EBM</t>
  </si>
  <si>
    <t>TSR20</t>
  </si>
  <si>
    <t>RB</t>
  </si>
  <si>
    <t>QG</t>
  </si>
  <si>
    <t>MCL</t>
  </si>
  <si>
    <t>HO</t>
  </si>
  <si>
    <t>GOIL</t>
  </si>
  <si>
    <t>MHG</t>
  </si>
  <si>
    <t>SCI</t>
  </si>
  <si>
    <t>MBT</t>
  </si>
  <si>
    <t>PA</t>
  </si>
  <si>
    <t>MGC</t>
  </si>
  <si>
    <t>SI</t>
  </si>
  <si>
    <t>PL</t>
  </si>
  <si>
    <t>BTP</t>
  </si>
  <si>
    <t>ZB</t>
  </si>
  <si>
    <t>UB</t>
  </si>
  <si>
    <t>TN</t>
  </si>
  <si>
    <t>R</t>
  </si>
  <si>
    <t>OAT</t>
  </si>
  <si>
    <t>ZN</t>
  </si>
  <si>
    <t>ZT</t>
  </si>
  <si>
    <t>GBL</t>
  </si>
  <si>
    <t>GBX</t>
  </si>
  <si>
    <t>IBXXIBHY</t>
  </si>
  <si>
    <t>DAX</t>
  </si>
  <si>
    <t>ESTX50</t>
  </si>
  <si>
    <t>SMI</t>
  </si>
  <si>
    <t>N225M</t>
  </si>
  <si>
    <t>MYM</t>
  </si>
  <si>
    <t>MNQ</t>
  </si>
  <si>
    <t>MES</t>
  </si>
  <si>
    <t>MCA</t>
  </si>
  <si>
    <t>K200</t>
  </si>
  <si>
    <t>MNTPX</t>
  </si>
  <si>
    <t>M2K</t>
  </si>
  <si>
    <t>M6A</t>
  </si>
  <si>
    <t>NZD</t>
  </si>
  <si>
    <t>CHF</t>
  </si>
  <si>
    <t>JPY</t>
  </si>
  <si>
    <t>GBP</t>
  </si>
  <si>
    <t>ZAR</t>
  </si>
  <si>
    <t>RY</t>
  </si>
  <si>
    <t>DX</t>
  </si>
  <si>
    <t>EUR</t>
  </si>
  <si>
    <t>V2TX</t>
  </si>
  <si>
    <t>VXM</t>
  </si>
  <si>
    <t>PRECIO CLOSE 20.03.2026</t>
  </si>
  <si>
    <t>PRECIO CLOSE 27.03.2026</t>
  </si>
  <si>
    <t>FX 20.03.2026</t>
  </si>
  <si>
    <t>Numero Nocional 27</t>
  </si>
  <si>
    <t>DIFERENCIA</t>
  </si>
  <si>
    <t>EURO</t>
  </si>
  <si>
    <t>DOLAR</t>
  </si>
  <si>
    <t>CAPTURA_DE_MERCADO</t>
  </si>
  <si>
    <t>l</t>
  </si>
  <si>
    <t>GANANCIAS</t>
  </si>
  <si>
    <t>Numero Nocional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</si>
</sst>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3" fillId="0" borderId="5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/>
    <xf numFmtId="14" fontId="2" fillId="0" borderId="8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0" fontId="0" fillId="0" borderId="0" xfId="1" applyNumberFormat="1" applyFont="1"/>
    <xf numFmtId="9" fontId="0" fillId="0" borderId="0" xfId="1" applyFont="1"/>
    <xf numFmtId="43" fontId="0" fillId="0" borderId="0" xfId="2" applyFont="1"/>
    <xf numFmtId="43" fontId="2" fillId="0" borderId="0" xfId="2" applyFont="1" applyAlignment="1">
      <alignment horizontal="center" vertical="center"/>
    </xf>
    <xf numFmtId="43" fontId="0" fillId="0" borderId="6" xfId="2" applyFont="1" applyBorder="1"/>
    <xf numFmtId="2" fontId="0" fillId="0" borderId="0" xfId="2" applyNumberFormat="1" applyFont="1"/>
    <xf numFmtId="43" fontId="2" fillId="0" borderId="0" xfId="2" applyFont="1"/>
    <xf numFmtId="43" fontId="2" fillId="0" borderId="0" xfId="2" applyFont="1" applyFill="1" applyBorder="1" applyAlignment="1">
      <alignment horizontal="center" vertical="center"/>
    </xf>
    <xf numFmtId="2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B691-F309-4A23-8341-C43017701A70}">
  <dimension ref="A1:S54"/>
  <sheetViews>
    <sheetView tabSelected="1" workbookViewId="0">
      <selection activeCell="H3" sqref="H3"/>
    </sheetView>
  </sheetViews>
  <sheetFormatPr defaultRowHeight="15" x14ac:dyDescent="0.25"/>
  <cols>
    <col min="1" max="1" width="14.42578125" style="10" bestFit="1" customWidth="1"/>
    <col min="2" max="2" width="14.42578125" bestFit="1" customWidth="1"/>
    <col min="3" max="3" width="10.5703125" bestFit="1" customWidth="1"/>
    <col min="4" max="7" width="24.5703125" bestFit="1" customWidth="1"/>
    <col min="8" max="9" width="19.5703125" style="16" bestFit="1" customWidth="1"/>
    <col min="10" max="10" width="14" style="16" bestFit="1" customWidth="1"/>
    <col min="11" max="11" width="13.42578125" style="16" bestFit="1" customWidth="1"/>
    <col min="12" max="12" width="25" bestFit="1" customWidth="1"/>
    <col min="13" max="13" width="3" bestFit="1" customWidth="1"/>
  </cols>
  <sheetData>
    <row r="1" spans="1:19" ht="15.75" thickBot="1" x14ac:dyDescent="0.3">
      <c r="A1"/>
    </row>
    <row r="2" spans="1:19" ht="15.75" thickBot="1" x14ac:dyDescent="0.3">
      <c r="A2" s="1" t="s">
        <v>0</v>
      </c>
      <c r="B2" s="2" t="s">
        <v>1</v>
      </c>
      <c r="C2" s="3" t="s">
        <v>2</v>
      </c>
      <c r="D2" s="2" t="s">
        <v>55</v>
      </c>
      <c r="E2" s="2" t="s">
        <v>57</v>
      </c>
      <c r="F2" s="2" t="s">
        <v>56</v>
      </c>
      <c r="G2" s="11" t="s">
        <v>3</v>
      </c>
      <c r="H2" s="17" t="s">
        <v>65</v>
      </c>
      <c r="I2" s="17" t="s">
        <v>58</v>
      </c>
      <c r="J2" s="17" t="s">
        <v>59</v>
      </c>
      <c r="K2" s="20" t="s">
        <v>64</v>
      </c>
      <c r="L2" s="20" t="s">
        <v>62</v>
      </c>
      <c r="M2" s="21" t="s">
        <v>63</v>
      </c>
      <c r="P2" t="s">
        <v>60</v>
      </c>
      <c r="Q2">
        <f>Q3/G7</f>
        <v>86.576338686636944</v>
      </c>
      <c r="R2">
        <v>100</v>
      </c>
    </row>
    <row r="3" spans="1:19" x14ac:dyDescent="0.25">
      <c r="A3" s="4" t="s">
        <v>4</v>
      </c>
      <c r="B3" s="5">
        <v>-18</v>
      </c>
      <c r="C3" s="6">
        <v>10</v>
      </c>
      <c r="D3" s="5">
        <v>3255</v>
      </c>
      <c r="E3" s="5">
        <v>1</v>
      </c>
      <c r="F3" s="5">
        <v>3165</v>
      </c>
      <c r="G3" s="12">
        <v>1</v>
      </c>
      <c r="H3" s="19">
        <f>(B3*C3*D3)*E3</f>
        <v>-585900</v>
      </c>
      <c r="I3" s="19">
        <f t="shared" ref="I3:I6" si="0">(B3*C3*F3)*G3</f>
        <v>-569700</v>
      </c>
      <c r="J3" s="16">
        <f>I3-H3</f>
        <v>16200</v>
      </c>
      <c r="K3" s="16">
        <v>37784.06</v>
      </c>
      <c r="L3" s="15">
        <f>K3/J3</f>
        <v>2.3323493827160493</v>
      </c>
      <c r="P3" t="s">
        <v>61</v>
      </c>
      <c r="Q3">
        <v>100</v>
      </c>
      <c r="R3">
        <f>R2*G7</f>
        <v>115.505</v>
      </c>
    </row>
    <row r="4" spans="1:19" x14ac:dyDescent="0.25">
      <c r="A4" s="4" t="s">
        <v>5</v>
      </c>
      <c r="B4" s="5">
        <v>-25</v>
      </c>
      <c r="C4" s="6">
        <v>100</v>
      </c>
      <c r="D4" s="5">
        <v>328</v>
      </c>
      <c r="E4" s="5">
        <v>1</v>
      </c>
      <c r="F4" s="5">
        <v>315.3</v>
      </c>
      <c r="G4" s="12">
        <v>1</v>
      </c>
      <c r="H4" s="19">
        <f t="shared" ref="H4:H6" si="1">(B4*C4*D4)*E4</f>
        <v>-820000</v>
      </c>
      <c r="I4" s="19">
        <f t="shared" si="0"/>
        <v>-788250</v>
      </c>
      <c r="J4" s="16">
        <f>I4-H4</f>
        <v>31750</v>
      </c>
      <c r="K4" s="16">
        <v>720</v>
      </c>
      <c r="L4" s="15">
        <f>K4/J4</f>
        <v>2.267716535433071E-2</v>
      </c>
      <c r="P4" s="19">
        <v>5000</v>
      </c>
      <c r="Q4" s="15">
        <f>P4/J3</f>
        <v>0.30864197530864196</v>
      </c>
      <c r="R4">
        <f>+F3/D3</f>
        <v>0.97235023041474655</v>
      </c>
      <c r="S4" s="14">
        <f>+R4-1</f>
        <v>-2.7649769585253448E-2</v>
      </c>
    </row>
    <row r="5" spans="1:19" x14ac:dyDescent="0.25">
      <c r="A5" s="4" t="s">
        <v>6</v>
      </c>
      <c r="B5" s="5">
        <v>-21</v>
      </c>
      <c r="C5" s="6">
        <v>10</v>
      </c>
      <c r="D5" s="5">
        <v>3664</v>
      </c>
      <c r="E5" s="5">
        <v>1</v>
      </c>
      <c r="F5" s="5">
        <v>3593</v>
      </c>
      <c r="G5" s="12">
        <v>1</v>
      </c>
      <c r="H5" s="19">
        <f t="shared" si="1"/>
        <v>-769440</v>
      </c>
      <c r="I5" s="19">
        <f t="shared" si="0"/>
        <v>-754530</v>
      </c>
      <c r="J5" s="16">
        <f>I5-H5</f>
        <v>14910</v>
      </c>
      <c r="K5" s="16">
        <v>-2030.3900000000003</v>
      </c>
      <c r="L5" s="15">
        <f>K5/J5</f>
        <v>-0.13617639168343396</v>
      </c>
    </row>
    <row r="6" spans="1:19" x14ac:dyDescent="0.25">
      <c r="A6" s="4" t="s">
        <v>7</v>
      </c>
      <c r="B6" s="5">
        <v>33</v>
      </c>
      <c r="C6" s="6">
        <v>50</v>
      </c>
      <c r="D6" s="5">
        <v>451.4</v>
      </c>
      <c r="E6" s="5">
        <v>1</v>
      </c>
      <c r="F6" s="5">
        <v>458.6</v>
      </c>
      <c r="G6" s="12">
        <v>1</v>
      </c>
      <c r="H6" s="19">
        <f t="shared" si="1"/>
        <v>744810</v>
      </c>
      <c r="I6" s="19">
        <f t="shared" si="0"/>
        <v>756690</v>
      </c>
      <c r="J6" s="16">
        <f>I6-H6</f>
        <v>11880</v>
      </c>
      <c r="K6" s="16">
        <v>-3365.480000000005</v>
      </c>
      <c r="L6" s="15">
        <f>K6/J6</f>
        <v>-0.2832895622895627</v>
      </c>
    </row>
    <row r="7" spans="1:19" x14ac:dyDescent="0.25">
      <c r="A7" s="4" t="s">
        <v>8</v>
      </c>
      <c r="B7" s="5">
        <v>61</v>
      </c>
      <c r="C7" s="6">
        <v>50</v>
      </c>
      <c r="D7" s="5">
        <v>203.25</v>
      </c>
      <c r="E7" s="5">
        <v>1.1634500000000001</v>
      </c>
      <c r="F7" s="5">
        <v>203.25</v>
      </c>
      <c r="G7" s="12">
        <v>1.1550499999999999</v>
      </c>
      <c r="H7" s="19">
        <f>(B7*C7*D7)*E7</f>
        <v>721237.19812500011</v>
      </c>
      <c r="I7" s="19">
        <f>(B7*C7*F7)*G7</f>
        <v>716029.93312499998</v>
      </c>
      <c r="J7" s="16">
        <f t="shared" ref="J7:J39" si="2">I7-H7</f>
        <v>-5207.2650000001304</v>
      </c>
      <c r="K7" s="16">
        <v>15150.7</v>
      </c>
      <c r="L7" s="15">
        <f>ABS(K7/J7)</f>
        <v>2.9095312030402951</v>
      </c>
    </row>
    <row r="8" spans="1:19" x14ac:dyDescent="0.25">
      <c r="A8" s="4" t="s">
        <v>9</v>
      </c>
      <c r="B8" s="5">
        <v>72</v>
      </c>
      <c r="C8" s="6">
        <v>50</v>
      </c>
      <c r="D8" s="5">
        <v>188.6</v>
      </c>
      <c r="E8" s="5">
        <v>1</v>
      </c>
      <c r="F8" s="5">
        <v>197.9</v>
      </c>
      <c r="G8" s="12">
        <v>1</v>
      </c>
      <c r="H8" s="19">
        <f t="shared" ref="H8:H53" si="3">(B8*C8*D8)*E8</f>
        <v>678960</v>
      </c>
      <c r="I8" s="19">
        <f t="shared" ref="I8:I54" si="4">(B8*C8*F8)*G8</f>
        <v>712440</v>
      </c>
      <c r="J8" s="16">
        <f t="shared" si="2"/>
        <v>33480</v>
      </c>
      <c r="K8" s="16">
        <v>38040</v>
      </c>
      <c r="L8" s="15">
        <f t="shared" ref="L8:L40" si="5">K8/J8</f>
        <v>1.1362007168458781</v>
      </c>
    </row>
    <row r="9" spans="1:19" x14ac:dyDescent="0.25">
      <c r="A9" s="4" t="s">
        <v>10</v>
      </c>
      <c r="B9" s="5">
        <v>-12</v>
      </c>
      <c r="C9" s="6">
        <v>42000</v>
      </c>
      <c r="D9" s="5">
        <v>3.2593000000000001</v>
      </c>
      <c r="E9" s="5">
        <v>1</v>
      </c>
      <c r="F9" s="5">
        <v>3.2252999999999998</v>
      </c>
      <c r="G9" s="12">
        <v>1</v>
      </c>
      <c r="H9" s="19">
        <f t="shared" si="3"/>
        <v>-1642687.2</v>
      </c>
      <c r="I9" s="19">
        <f t="shared" si="4"/>
        <v>-1625551.2</v>
      </c>
      <c r="J9" s="16">
        <f t="shared" si="2"/>
        <v>17136</v>
      </c>
      <c r="K9" s="16">
        <v>5258.4000000000015</v>
      </c>
      <c r="L9" s="15">
        <f t="shared" si="5"/>
        <v>0.30686274509803929</v>
      </c>
    </row>
    <row r="10" spans="1:19" x14ac:dyDescent="0.25">
      <c r="A10" s="4" t="s">
        <v>11</v>
      </c>
      <c r="B10" s="5">
        <v>-33</v>
      </c>
      <c r="C10" s="6">
        <v>2500</v>
      </c>
      <c r="D10" s="5">
        <v>3.09</v>
      </c>
      <c r="E10" s="5">
        <v>1</v>
      </c>
      <c r="F10" s="5">
        <v>3.0350000000000001</v>
      </c>
      <c r="G10" s="12">
        <v>1</v>
      </c>
      <c r="H10" s="19">
        <f t="shared" si="3"/>
        <v>-254925</v>
      </c>
      <c r="I10" s="19">
        <f t="shared" si="4"/>
        <v>-250387.5</v>
      </c>
      <c r="J10" s="16">
        <f t="shared" si="2"/>
        <v>4537.5</v>
      </c>
      <c r="K10" s="16">
        <v>-7990.5500000000011</v>
      </c>
      <c r="L10" s="15">
        <f t="shared" si="5"/>
        <v>-1.7610027548209368</v>
      </c>
    </row>
    <row r="11" spans="1:19" x14ac:dyDescent="0.25">
      <c r="A11" s="4" t="s">
        <v>12</v>
      </c>
      <c r="B11" s="5">
        <v>30</v>
      </c>
      <c r="C11" s="6">
        <v>100</v>
      </c>
      <c r="D11" s="5">
        <v>98.25</v>
      </c>
      <c r="E11" s="5">
        <v>1</v>
      </c>
      <c r="F11" s="5">
        <v>101.38</v>
      </c>
      <c r="G11" s="12">
        <v>1</v>
      </c>
      <c r="H11" s="19">
        <f t="shared" si="3"/>
        <v>294750</v>
      </c>
      <c r="I11" s="19">
        <f t="shared" si="4"/>
        <v>304140</v>
      </c>
      <c r="J11" s="16">
        <f t="shared" si="2"/>
        <v>9390</v>
      </c>
      <c r="K11" s="16">
        <v>14353.150000000001</v>
      </c>
      <c r="L11" s="15">
        <f t="shared" si="5"/>
        <v>1.5285569755058575</v>
      </c>
    </row>
    <row r="12" spans="1:19" x14ac:dyDescent="0.25">
      <c r="A12" s="4" t="s">
        <v>13</v>
      </c>
      <c r="B12" s="5">
        <v>11</v>
      </c>
      <c r="C12" s="6">
        <v>42000</v>
      </c>
      <c r="D12" s="5">
        <v>4.2965</v>
      </c>
      <c r="E12" s="5">
        <v>1</v>
      </c>
      <c r="F12" s="5">
        <v>4.3209</v>
      </c>
      <c r="G12" s="12">
        <v>1</v>
      </c>
      <c r="H12" s="19">
        <f t="shared" si="3"/>
        <v>1984983</v>
      </c>
      <c r="I12" s="19">
        <f t="shared" si="4"/>
        <v>1996255.8</v>
      </c>
      <c r="J12" s="16">
        <f t="shared" si="2"/>
        <v>11272.800000000047</v>
      </c>
      <c r="K12" s="16">
        <v>-8216.820000000007</v>
      </c>
      <c r="L12" s="15">
        <f t="shared" si="5"/>
        <v>-0.72890674898871377</v>
      </c>
    </row>
    <row r="13" spans="1:19" x14ac:dyDescent="0.25">
      <c r="A13" s="4" t="s">
        <v>14</v>
      </c>
      <c r="B13" s="5">
        <v>-12</v>
      </c>
      <c r="C13" s="6">
        <v>100</v>
      </c>
      <c r="D13" s="5">
        <v>1348.5</v>
      </c>
      <c r="E13" s="5">
        <v>1</v>
      </c>
      <c r="F13" s="5">
        <v>1202.75</v>
      </c>
      <c r="G13" s="12">
        <v>1</v>
      </c>
      <c r="H13" s="19">
        <f t="shared" si="3"/>
        <v>-1618200</v>
      </c>
      <c r="I13" s="19">
        <f t="shared" si="4"/>
        <v>-1443300</v>
      </c>
      <c r="J13" s="16">
        <f t="shared" si="2"/>
        <v>174900</v>
      </c>
      <c r="K13" s="16">
        <v>21872.6</v>
      </c>
      <c r="L13" s="15">
        <f t="shared" si="5"/>
        <v>0.12505774728416236</v>
      </c>
    </row>
    <row r="14" spans="1:19" x14ac:dyDescent="0.25">
      <c r="A14" s="4" t="s">
        <v>15</v>
      </c>
      <c r="B14" s="5">
        <v>37</v>
      </c>
      <c r="C14" s="6">
        <v>2500</v>
      </c>
      <c r="D14" s="5">
        <v>5.3310000000000004</v>
      </c>
      <c r="E14" s="5">
        <v>1</v>
      </c>
      <c r="F14" s="5">
        <v>5.4945000000000004</v>
      </c>
      <c r="G14" s="12">
        <v>1</v>
      </c>
      <c r="H14" s="19">
        <f t="shared" si="3"/>
        <v>493117.50000000006</v>
      </c>
      <c r="I14" s="19">
        <f t="shared" si="4"/>
        <v>508241.25000000006</v>
      </c>
      <c r="J14" s="16">
        <f t="shared" si="2"/>
        <v>15123.75</v>
      </c>
      <c r="K14" s="16">
        <v>-9178.6000000000022</v>
      </c>
      <c r="L14" s="15">
        <f t="shared" si="5"/>
        <v>-0.60689974378047784</v>
      </c>
    </row>
    <row r="15" spans="1:19" x14ac:dyDescent="0.25">
      <c r="A15" s="4" t="s">
        <v>16</v>
      </c>
      <c r="B15" s="5">
        <v>-56</v>
      </c>
      <c r="C15" s="6">
        <v>100</v>
      </c>
      <c r="D15" s="5">
        <v>107.9</v>
      </c>
      <c r="E15" s="5">
        <v>1</v>
      </c>
      <c r="F15" s="5">
        <v>107</v>
      </c>
      <c r="G15" s="12">
        <v>1</v>
      </c>
      <c r="H15" s="19">
        <f t="shared" si="3"/>
        <v>-604240</v>
      </c>
      <c r="I15" s="19">
        <f t="shared" si="4"/>
        <v>-599200</v>
      </c>
      <c r="J15" s="16">
        <f t="shared" si="2"/>
        <v>5040</v>
      </c>
      <c r="K15" s="16">
        <v>-509.93000000000029</v>
      </c>
      <c r="L15" s="15">
        <f t="shared" si="5"/>
        <v>-0.10117658730158736</v>
      </c>
    </row>
    <row r="16" spans="1:19" x14ac:dyDescent="0.25">
      <c r="A16" s="4" t="s">
        <v>17</v>
      </c>
      <c r="B16" s="5">
        <v>-39</v>
      </c>
      <c r="C16" s="6">
        <v>0.1</v>
      </c>
      <c r="D16" s="5">
        <v>70155</v>
      </c>
      <c r="E16" s="5">
        <v>1</v>
      </c>
      <c r="F16" s="5">
        <v>66225</v>
      </c>
      <c r="G16" s="12">
        <v>1</v>
      </c>
      <c r="H16" s="19">
        <f t="shared" si="3"/>
        <v>-273604.5</v>
      </c>
      <c r="I16" s="19">
        <f t="shared" si="4"/>
        <v>-258277.50000000003</v>
      </c>
      <c r="J16" s="16">
        <f>I16-H16</f>
        <v>15326.999999999971</v>
      </c>
      <c r="K16" s="16">
        <v>19115.760000000002</v>
      </c>
      <c r="L16" s="15">
        <f t="shared" si="5"/>
        <v>1.2471951458211026</v>
      </c>
    </row>
    <row r="17" spans="1:12" x14ac:dyDescent="0.25">
      <c r="A17" s="4" t="s">
        <v>18</v>
      </c>
      <c r="B17" s="5">
        <v>-12</v>
      </c>
      <c r="C17" s="6">
        <v>100</v>
      </c>
      <c r="D17" s="5">
        <v>1414.5</v>
      </c>
      <c r="E17" s="5">
        <v>1</v>
      </c>
      <c r="F17" s="5">
        <v>1384.5</v>
      </c>
      <c r="G17" s="12">
        <v>1</v>
      </c>
      <c r="H17" s="19">
        <f t="shared" si="3"/>
        <v>-1697400</v>
      </c>
      <c r="I17" s="19">
        <f t="shared" si="4"/>
        <v>-1661400</v>
      </c>
      <c r="J17" s="16">
        <f t="shared" si="2"/>
        <v>36000</v>
      </c>
      <c r="K17" s="16">
        <v>-37004.94</v>
      </c>
      <c r="L17" s="15">
        <f t="shared" si="5"/>
        <v>-1.0279150000000001</v>
      </c>
    </row>
    <row r="18" spans="1:12" x14ac:dyDescent="0.25">
      <c r="A18" s="4" t="s">
        <v>19</v>
      </c>
      <c r="B18" s="5">
        <v>-19</v>
      </c>
      <c r="C18" s="6">
        <v>10</v>
      </c>
      <c r="D18" s="5">
        <v>4490.3999999999996</v>
      </c>
      <c r="E18" s="5">
        <v>1</v>
      </c>
      <c r="F18" s="5">
        <v>4488.8999999999996</v>
      </c>
      <c r="G18" s="12">
        <v>1</v>
      </c>
      <c r="H18" s="19">
        <f>(B18*C18*D18)*E18</f>
        <v>-853175.99999999988</v>
      </c>
      <c r="I18" s="19">
        <f>(B18*C18*F18)*G18</f>
        <v>-852890.99999999988</v>
      </c>
      <c r="J18" s="16">
        <f t="shared" si="2"/>
        <v>285</v>
      </c>
      <c r="K18" s="16">
        <v>-14079.05</v>
      </c>
      <c r="L18" s="15">
        <f t="shared" si="5"/>
        <v>-49.400175438596492</v>
      </c>
    </row>
    <row r="19" spans="1:12" x14ac:dyDescent="0.25">
      <c r="A19" s="4" t="s">
        <v>20</v>
      </c>
      <c r="B19" s="5">
        <v>13</v>
      </c>
      <c r="C19" s="6">
        <v>1000</v>
      </c>
      <c r="D19" s="5">
        <v>69.42</v>
      </c>
      <c r="E19" s="5">
        <v>1</v>
      </c>
      <c r="F19" s="5">
        <v>69.760000000000005</v>
      </c>
      <c r="G19" s="12">
        <v>1</v>
      </c>
      <c r="H19" s="19">
        <f t="shared" si="3"/>
        <v>902460</v>
      </c>
      <c r="I19" s="19">
        <f t="shared" si="4"/>
        <v>906880.00000000012</v>
      </c>
      <c r="J19" s="16">
        <f t="shared" si="2"/>
        <v>4420.0000000001164</v>
      </c>
      <c r="K19" s="16">
        <v>-223.05000000001019</v>
      </c>
      <c r="L19" s="15">
        <f t="shared" si="5"/>
        <v>-5.0463800904978352E-2</v>
      </c>
    </row>
    <row r="20" spans="1:12" x14ac:dyDescent="0.25">
      <c r="A20" s="4" t="s">
        <v>21</v>
      </c>
      <c r="B20" s="5">
        <v>-13</v>
      </c>
      <c r="C20" s="6">
        <v>50</v>
      </c>
      <c r="D20" s="5">
        <v>1920.1</v>
      </c>
      <c r="E20" s="5">
        <v>1</v>
      </c>
      <c r="F20" s="5">
        <v>1848.3</v>
      </c>
      <c r="G20" s="12">
        <v>1</v>
      </c>
      <c r="H20" s="19">
        <f t="shared" si="3"/>
        <v>-1248065</v>
      </c>
      <c r="I20" s="19">
        <f t="shared" si="4"/>
        <v>-1201395</v>
      </c>
      <c r="J20" s="16">
        <f t="shared" si="2"/>
        <v>46670</v>
      </c>
      <c r="K20" s="16">
        <v>-8000</v>
      </c>
      <c r="L20" s="15">
        <f t="shared" si="5"/>
        <v>-0.17141632740518534</v>
      </c>
    </row>
    <row r="21" spans="1:12" x14ac:dyDescent="0.25">
      <c r="A21" s="4" t="s">
        <v>22</v>
      </c>
      <c r="B21" s="5">
        <v>-19</v>
      </c>
      <c r="C21" s="6">
        <v>1000</v>
      </c>
      <c r="D21" s="5">
        <v>116.1</v>
      </c>
      <c r="E21" s="5">
        <v>1.1634500000000001</v>
      </c>
      <c r="F21" s="5">
        <v>114.88</v>
      </c>
      <c r="G21" s="12">
        <v>1.1550499999999999</v>
      </c>
      <c r="H21" s="19">
        <f t="shared" si="3"/>
        <v>-2566454.355</v>
      </c>
      <c r="I21" s="19">
        <f t="shared" si="4"/>
        <v>-2521150.736</v>
      </c>
      <c r="J21" s="16">
        <f t="shared" si="2"/>
        <v>45303.618999999948</v>
      </c>
      <c r="K21" s="16">
        <v>-17775.71</v>
      </c>
      <c r="L21" s="15">
        <f t="shared" si="5"/>
        <v>-0.39236843308257602</v>
      </c>
    </row>
    <row r="22" spans="1:12" x14ac:dyDescent="0.25">
      <c r="A22" s="4" t="s">
        <v>23</v>
      </c>
      <c r="B22" s="5">
        <v>-19</v>
      </c>
      <c r="C22" s="6">
        <v>1000</v>
      </c>
      <c r="D22" s="5">
        <v>112.40625</v>
      </c>
      <c r="E22" s="5">
        <v>1</v>
      </c>
      <c r="F22" s="5">
        <v>112.1875</v>
      </c>
      <c r="G22" s="12">
        <v>1</v>
      </c>
      <c r="H22" s="19">
        <f t="shared" si="3"/>
        <v>-2135718.75</v>
      </c>
      <c r="I22" s="19">
        <f t="shared" si="4"/>
        <v>-2131562.5</v>
      </c>
      <c r="J22" s="16">
        <f t="shared" si="2"/>
        <v>4156.25</v>
      </c>
      <c r="K22" s="16">
        <v>-10036.469999999999</v>
      </c>
      <c r="L22" s="15">
        <f t="shared" si="5"/>
        <v>-2.4147897744360902</v>
      </c>
    </row>
    <row r="23" spans="1:12" x14ac:dyDescent="0.25">
      <c r="A23" s="4" t="s">
        <v>24</v>
      </c>
      <c r="B23" s="5">
        <v>-17</v>
      </c>
      <c r="C23" s="6">
        <v>1000</v>
      </c>
      <c r="D23" s="5">
        <v>115.34375</v>
      </c>
      <c r="E23" s="5">
        <v>1</v>
      </c>
      <c r="F23" s="5">
        <v>114.90625</v>
      </c>
      <c r="G23" s="12">
        <v>1</v>
      </c>
      <c r="H23" s="19">
        <f t="shared" si="3"/>
        <v>-1960843.75</v>
      </c>
      <c r="I23" s="19">
        <f t="shared" si="4"/>
        <v>-1953406.25</v>
      </c>
      <c r="J23" s="16">
        <f t="shared" si="2"/>
        <v>7437.5</v>
      </c>
      <c r="K23" s="16">
        <v>341.93</v>
      </c>
      <c r="L23" s="15">
        <f t="shared" si="5"/>
        <v>4.597378151260504E-2</v>
      </c>
    </row>
    <row r="24" spans="1:12" x14ac:dyDescent="0.25">
      <c r="A24" s="4" t="s">
        <v>25</v>
      </c>
      <c r="B24" s="5">
        <v>-23</v>
      </c>
      <c r="C24" s="6">
        <v>1000</v>
      </c>
      <c r="D24" s="5">
        <v>112.8125</v>
      </c>
      <c r="E24" s="5">
        <v>1</v>
      </c>
      <c r="F24" s="5">
        <v>112.34375</v>
      </c>
      <c r="G24" s="12">
        <v>1</v>
      </c>
      <c r="H24" s="19">
        <f t="shared" si="3"/>
        <v>-2594687.5</v>
      </c>
      <c r="I24" s="19">
        <f t="shared" si="4"/>
        <v>-2583906.25</v>
      </c>
      <c r="J24" s="16">
        <f t="shared" si="2"/>
        <v>10781.25</v>
      </c>
      <c r="K24" s="16">
        <v>-6286.25</v>
      </c>
      <c r="L24" s="15">
        <f t="shared" si="5"/>
        <v>-0.58307246376811595</v>
      </c>
    </row>
    <row r="25" spans="1:12" x14ac:dyDescent="0.25">
      <c r="A25" s="4" t="s">
        <v>26</v>
      </c>
      <c r="B25" s="5">
        <v>-18</v>
      </c>
      <c r="C25" s="6">
        <v>1000</v>
      </c>
      <c r="D25" s="5">
        <v>87.16</v>
      </c>
      <c r="E25" s="5">
        <v>1.3429</v>
      </c>
      <c r="F25" s="5">
        <v>87.13</v>
      </c>
      <c r="G25" s="12">
        <v>1.3259000000000001</v>
      </c>
      <c r="H25" s="19">
        <f t="shared" si="3"/>
        <v>-2106848.952</v>
      </c>
      <c r="I25" s="19">
        <f t="shared" si="4"/>
        <v>-2079462.0060000001</v>
      </c>
      <c r="J25" s="16">
        <f t="shared" si="2"/>
        <v>27386.945999999996</v>
      </c>
      <c r="K25" s="16">
        <v>-16561.599999999999</v>
      </c>
      <c r="L25" s="15">
        <f t="shared" si="5"/>
        <v>-0.60472606182522148</v>
      </c>
    </row>
    <row r="26" spans="1:12" x14ac:dyDescent="0.25">
      <c r="A26" s="4" t="s">
        <v>27</v>
      </c>
      <c r="B26" s="5">
        <v>-21</v>
      </c>
      <c r="C26" s="6">
        <v>1000</v>
      </c>
      <c r="D26" s="5">
        <v>118.62</v>
      </c>
      <c r="E26" s="5">
        <v>1.1634500000000001</v>
      </c>
      <c r="F26" s="5">
        <v>117.59</v>
      </c>
      <c r="G26" s="12">
        <v>1.1550499999999999</v>
      </c>
      <c r="H26" s="19">
        <f t="shared" si="3"/>
        <v>-2898177.219</v>
      </c>
      <c r="I26" s="19">
        <f t="shared" si="4"/>
        <v>-2852268.9194999998</v>
      </c>
      <c r="J26" s="16">
        <f t="shared" si="2"/>
        <v>45908.299500000197</v>
      </c>
      <c r="K26" s="16">
        <v>-23190.940000000002</v>
      </c>
      <c r="L26" s="15">
        <f t="shared" si="5"/>
        <v>-0.50515789634072383</v>
      </c>
    </row>
    <row r="27" spans="1:12" x14ac:dyDescent="0.25">
      <c r="A27" s="4" t="s">
        <v>28</v>
      </c>
      <c r="B27" s="5">
        <v>-28</v>
      </c>
      <c r="C27" s="6">
        <v>1000</v>
      </c>
      <c r="D27" s="5">
        <v>110.5</v>
      </c>
      <c r="E27" s="5">
        <v>1</v>
      </c>
      <c r="F27" s="5">
        <v>110.15625</v>
      </c>
      <c r="G27" s="12">
        <v>1</v>
      </c>
      <c r="H27" s="19">
        <f t="shared" si="3"/>
        <v>-3094000</v>
      </c>
      <c r="I27" s="19">
        <f t="shared" si="4"/>
        <v>-3084375</v>
      </c>
      <c r="J27" s="16">
        <f t="shared" si="2"/>
        <v>9625</v>
      </c>
      <c r="K27" s="16">
        <v>-6244.4</v>
      </c>
      <c r="L27" s="15">
        <f t="shared" si="5"/>
        <v>-0.64876883116883111</v>
      </c>
    </row>
    <row r="28" spans="1:12" x14ac:dyDescent="0.25">
      <c r="A28" s="4" t="s">
        <v>29</v>
      </c>
      <c r="B28" s="5">
        <v>-42</v>
      </c>
      <c r="C28" s="6">
        <v>2000</v>
      </c>
      <c r="D28" s="5">
        <v>103.53515625</v>
      </c>
      <c r="E28" s="5">
        <v>1</v>
      </c>
      <c r="F28" s="5">
        <v>103.51953125</v>
      </c>
      <c r="G28" s="12">
        <v>1</v>
      </c>
      <c r="H28" s="19">
        <f t="shared" si="3"/>
        <v>-8696953.125</v>
      </c>
      <c r="I28" s="19">
        <f t="shared" si="4"/>
        <v>-8695640.625</v>
      </c>
      <c r="J28" s="16">
        <f t="shared" si="2"/>
        <v>1312.5</v>
      </c>
      <c r="K28" s="16">
        <v>12429.68</v>
      </c>
      <c r="L28" s="15">
        <f t="shared" si="5"/>
        <v>9.4702323809523818</v>
      </c>
    </row>
    <row r="29" spans="1:12" x14ac:dyDescent="0.25">
      <c r="A29" s="4" t="s">
        <v>30</v>
      </c>
      <c r="B29" s="5">
        <v>-24</v>
      </c>
      <c r="C29" s="6">
        <v>1000</v>
      </c>
      <c r="D29" s="5">
        <v>125.26</v>
      </c>
      <c r="E29" s="5">
        <v>1.1634500000000001</v>
      </c>
      <c r="F29" s="5">
        <v>124.48</v>
      </c>
      <c r="G29" s="12">
        <v>1.1550499999999999</v>
      </c>
      <c r="H29" s="19">
        <f t="shared" si="3"/>
        <v>-3497609.9280000003</v>
      </c>
      <c r="I29" s="19">
        <f t="shared" si="4"/>
        <v>-3450734.9759999998</v>
      </c>
      <c r="J29" s="16">
        <f t="shared" si="2"/>
        <v>46874.952000000514</v>
      </c>
      <c r="K29" s="16">
        <v>-9728.43</v>
      </c>
      <c r="L29" s="15">
        <f t="shared" si="5"/>
        <v>-0.20754005252101151</v>
      </c>
    </row>
    <row r="30" spans="1:12" x14ac:dyDescent="0.25">
      <c r="A30" s="4" t="s">
        <v>31</v>
      </c>
      <c r="B30" s="5">
        <v>-17</v>
      </c>
      <c r="C30" s="6">
        <v>1000</v>
      </c>
      <c r="D30" s="5">
        <v>109.04</v>
      </c>
      <c r="E30" s="5">
        <v>1.1634500000000001</v>
      </c>
      <c r="F30" s="5">
        <v>108.22</v>
      </c>
      <c r="G30" s="12">
        <v>1.1550499999999999</v>
      </c>
      <c r="H30" s="19">
        <f t="shared" si="3"/>
        <v>-2156663.9960000003</v>
      </c>
      <c r="I30" s="19">
        <f t="shared" si="4"/>
        <v>-2124991.6869999999</v>
      </c>
      <c r="J30" s="16">
        <f>I30-H30</f>
        <v>31672.309000000358</v>
      </c>
      <c r="K30" s="16">
        <v>8146.3</v>
      </c>
      <c r="L30" s="15">
        <f t="shared" si="5"/>
        <v>0.25720575029752041</v>
      </c>
    </row>
    <row r="31" spans="1:12" x14ac:dyDescent="0.25">
      <c r="A31" s="4" t="s">
        <v>32</v>
      </c>
      <c r="B31" s="5">
        <v>-16</v>
      </c>
      <c r="C31" s="6">
        <v>1000</v>
      </c>
      <c r="D31" s="5">
        <v>178.38</v>
      </c>
      <c r="E31" s="5">
        <v>1</v>
      </c>
      <c r="F31" s="5">
        <v>177.75</v>
      </c>
      <c r="G31" s="12">
        <v>1</v>
      </c>
      <c r="H31" s="19">
        <f t="shared" si="3"/>
        <v>-2854080</v>
      </c>
      <c r="I31" s="19">
        <f t="shared" si="4"/>
        <v>-2844000</v>
      </c>
      <c r="J31" s="16">
        <f t="shared" si="2"/>
        <v>10080</v>
      </c>
      <c r="K31" s="16">
        <v>16368.09</v>
      </c>
      <c r="L31" s="15">
        <f t="shared" si="5"/>
        <v>1.6238184523809525</v>
      </c>
    </row>
    <row r="32" spans="1:12" x14ac:dyDescent="0.25">
      <c r="A32" s="4" t="s">
        <v>33</v>
      </c>
      <c r="B32" s="5">
        <v>-21</v>
      </c>
      <c r="C32" s="6">
        <v>1</v>
      </c>
      <c r="D32" s="5">
        <v>22591</v>
      </c>
      <c r="E32" s="5">
        <v>1.1634500000000001</v>
      </c>
      <c r="F32" s="5">
        <v>22502</v>
      </c>
      <c r="G32" s="12">
        <v>1.1550499999999999</v>
      </c>
      <c r="H32" s="19">
        <f t="shared" si="3"/>
        <v>-551953.47795000009</v>
      </c>
      <c r="I32" s="19">
        <f t="shared" si="4"/>
        <v>-545809.63709999993</v>
      </c>
      <c r="J32" s="16">
        <f t="shared" si="2"/>
        <v>6143.8408500001533</v>
      </c>
      <c r="K32" s="16">
        <v>828.55999999999983</v>
      </c>
      <c r="L32" s="15">
        <f t="shared" si="5"/>
        <v>0.13486026416194996</v>
      </c>
    </row>
    <row r="33" spans="1:12" x14ac:dyDescent="0.25">
      <c r="A33" s="4" t="s">
        <v>34</v>
      </c>
      <c r="B33" s="5">
        <v>16</v>
      </c>
      <c r="C33" s="6">
        <v>10</v>
      </c>
      <c r="D33" s="5">
        <v>5436</v>
      </c>
      <c r="E33" s="5">
        <v>1.1634500000000001</v>
      </c>
      <c r="F33" s="5">
        <v>5438</v>
      </c>
      <c r="G33" s="12">
        <v>1.1550499999999999</v>
      </c>
      <c r="H33" s="19">
        <f t="shared" si="3"/>
        <v>1011922.2720000001</v>
      </c>
      <c r="I33" s="19">
        <f t="shared" si="4"/>
        <v>1004985.9039999999</v>
      </c>
      <c r="J33" s="16">
        <f>I33-H33</f>
        <v>-6936.3680000002496</v>
      </c>
      <c r="K33" s="16">
        <v>-3699.9099999999962</v>
      </c>
      <c r="L33" s="15">
        <f t="shared" si="5"/>
        <v>0.53340739707003193</v>
      </c>
    </row>
    <row r="34" spans="1:12" x14ac:dyDescent="0.25">
      <c r="A34" s="4" t="s">
        <v>35</v>
      </c>
      <c r="B34" s="5">
        <v>13</v>
      </c>
      <c r="C34" s="6">
        <v>10</v>
      </c>
      <c r="D34" s="5">
        <v>12157</v>
      </c>
      <c r="E34" s="5">
        <v>1.2805500000000001</v>
      </c>
      <c r="F34" s="5">
        <v>12397</v>
      </c>
      <c r="G34" s="12">
        <v>1.2621</v>
      </c>
      <c r="H34" s="19">
        <f t="shared" si="3"/>
        <v>2023794.0255000002</v>
      </c>
      <c r="I34" s="19">
        <f t="shared" si="4"/>
        <v>2034012.9809999999</v>
      </c>
      <c r="J34" s="16">
        <f t="shared" si="2"/>
        <v>10218.955499999691</v>
      </c>
      <c r="K34" s="16">
        <v>797.04999999999939</v>
      </c>
      <c r="L34" s="15">
        <f t="shared" si="5"/>
        <v>7.7997208227398931E-2</v>
      </c>
    </row>
    <row r="35" spans="1:12" x14ac:dyDescent="0.25">
      <c r="A35" s="4" t="s">
        <v>36</v>
      </c>
      <c r="B35" s="5">
        <v>-17</v>
      </c>
      <c r="C35" s="6">
        <v>100</v>
      </c>
      <c r="D35" s="5">
        <v>52990</v>
      </c>
      <c r="E35" s="5">
        <v>6.3879999999999996E-3</v>
      </c>
      <c r="F35" s="5">
        <v>52880</v>
      </c>
      <c r="G35" s="12">
        <v>6.2804999999999996E-3</v>
      </c>
      <c r="H35" s="19">
        <f t="shared" si="3"/>
        <v>-575450.20399999991</v>
      </c>
      <c r="I35" s="19">
        <f t="shared" si="4"/>
        <v>-564591.82799999998</v>
      </c>
      <c r="J35" s="16">
        <f t="shared" si="2"/>
        <v>10858.375999999931</v>
      </c>
      <c r="K35" s="16">
        <v>4835.32</v>
      </c>
      <c r="L35" s="15">
        <f t="shared" si="5"/>
        <v>0.44530784345651969</v>
      </c>
    </row>
    <row r="36" spans="1:12" x14ac:dyDescent="0.25">
      <c r="A36" s="4" t="s">
        <v>37</v>
      </c>
      <c r="B36" s="5">
        <v>-28</v>
      </c>
      <c r="C36" s="6">
        <v>0.5</v>
      </c>
      <c r="D36" s="5">
        <v>45893</v>
      </c>
      <c r="E36" s="5">
        <v>1</v>
      </c>
      <c r="F36" s="5">
        <v>45424</v>
      </c>
      <c r="G36" s="12">
        <v>1</v>
      </c>
      <c r="H36" s="19">
        <f t="shared" si="3"/>
        <v>-642502</v>
      </c>
      <c r="I36" s="19">
        <f t="shared" si="4"/>
        <v>-635936</v>
      </c>
      <c r="J36" s="16">
        <f t="shared" si="2"/>
        <v>6566</v>
      </c>
      <c r="K36" s="16">
        <v>-125.33999999999992</v>
      </c>
      <c r="L36" s="15">
        <f t="shared" si="5"/>
        <v>-1.9089247639354236E-2</v>
      </c>
    </row>
    <row r="37" spans="1:12" x14ac:dyDescent="0.25">
      <c r="A37" s="4" t="s">
        <v>38</v>
      </c>
      <c r="B37" s="5">
        <v>-18</v>
      </c>
      <c r="C37" s="6">
        <v>2</v>
      </c>
      <c r="D37" s="5">
        <v>24101.5</v>
      </c>
      <c r="E37" s="5">
        <v>1</v>
      </c>
      <c r="F37" s="5">
        <v>23328.5</v>
      </c>
      <c r="G37" s="12">
        <v>1</v>
      </c>
      <c r="H37" s="19">
        <f t="shared" si="3"/>
        <v>-867654</v>
      </c>
      <c r="I37" s="19">
        <f t="shared" si="4"/>
        <v>-839826</v>
      </c>
      <c r="J37" s="16">
        <f t="shared" si="2"/>
        <v>27828</v>
      </c>
      <c r="K37" s="16">
        <v>4590.26</v>
      </c>
      <c r="L37" s="15">
        <f t="shared" si="5"/>
        <v>0.16495112835992526</v>
      </c>
    </row>
    <row r="38" spans="1:12" x14ac:dyDescent="0.25">
      <c r="A38" s="4" t="s">
        <v>39</v>
      </c>
      <c r="B38" s="5">
        <v>-25</v>
      </c>
      <c r="C38" s="6">
        <v>5</v>
      </c>
      <c r="D38" s="5">
        <v>6559</v>
      </c>
      <c r="E38" s="5">
        <v>1</v>
      </c>
      <c r="F38" s="5">
        <v>6412.25</v>
      </c>
      <c r="G38" s="12">
        <v>1</v>
      </c>
      <c r="H38" s="19">
        <f t="shared" si="3"/>
        <v>-819875</v>
      </c>
      <c r="I38" s="19">
        <f t="shared" si="4"/>
        <v>-801531.25</v>
      </c>
      <c r="J38" s="16">
        <f t="shared" si="2"/>
        <v>18343.75</v>
      </c>
      <c r="K38" s="16">
        <v>4641.9000000000005</v>
      </c>
      <c r="L38" s="15">
        <f t="shared" si="5"/>
        <v>0.2530507666098808</v>
      </c>
    </row>
    <row r="39" spans="1:12" x14ac:dyDescent="0.25">
      <c r="A39" s="4" t="s">
        <v>40</v>
      </c>
      <c r="B39" s="5">
        <v>-16</v>
      </c>
      <c r="C39" s="6">
        <v>25</v>
      </c>
      <c r="D39" s="5">
        <v>2562.6</v>
      </c>
      <c r="E39" s="5">
        <v>1</v>
      </c>
      <c r="F39" s="5">
        <v>2542.1999999999998</v>
      </c>
      <c r="G39" s="12">
        <v>1</v>
      </c>
      <c r="H39" s="19">
        <f t="shared" si="3"/>
        <v>-1025040</v>
      </c>
      <c r="I39" s="19">
        <f t="shared" si="4"/>
        <v>-1016879.9999999999</v>
      </c>
      <c r="J39" s="16">
        <f t="shared" si="2"/>
        <v>8160.0000000001164</v>
      </c>
      <c r="K39" s="16">
        <v>-9096.2799999999988</v>
      </c>
      <c r="L39" s="15">
        <f t="shared" si="5"/>
        <v>-1.1147401960784153</v>
      </c>
    </row>
    <row r="40" spans="1:12" x14ac:dyDescent="0.25">
      <c r="A40" s="4" t="s">
        <v>41</v>
      </c>
      <c r="B40" s="5">
        <v>-11</v>
      </c>
      <c r="C40" s="6">
        <v>250000</v>
      </c>
      <c r="D40" s="5">
        <v>863</v>
      </c>
      <c r="E40" s="5">
        <v>6.7199999999999996E-4</v>
      </c>
      <c r="F40" s="5">
        <v>806.35</v>
      </c>
      <c r="G40" s="12">
        <v>6.6100000000000002E-4</v>
      </c>
      <c r="H40" s="19">
        <f t="shared" si="3"/>
        <v>-1594824</v>
      </c>
      <c r="I40" s="19">
        <f t="shared" si="4"/>
        <v>-1465742.7125000001</v>
      </c>
      <c r="J40" s="16">
        <f t="shared" ref="J40:J53" si="6">I40-H40</f>
        <v>129081.28749999986</v>
      </c>
      <c r="K40" s="18">
        <v>-19977.53</v>
      </c>
      <c r="L40" s="15">
        <f t="shared" si="5"/>
        <v>-0.15476704940675479</v>
      </c>
    </row>
    <row r="41" spans="1:12" x14ac:dyDescent="0.25">
      <c r="A41" s="4" t="s">
        <v>42</v>
      </c>
      <c r="B41" s="5">
        <v>22</v>
      </c>
      <c r="C41" s="6">
        <v>1000</v>
      </c>
      <c r="D41" s="5">
        <v>3573.5</v>
      </c>
      <c r="E41" s="5">
        <v>6.3879999999999996E-3</v>
      </c>
      <c r="F41" s="5">
        <v>3600</v>
      </c>
      <c r="G41" s="12">
        <v>6.2804999999999996E-3</v>
      </c>
      <c r="H41" s="19">
        <f t="shared" si="3"/>
        <v>502205.39599999995</v>
      </c>
      <c r="I41" s="19">
        <f t="shared" si="4"/>
        <v>497415.6</v>
      </c>
      <c r="J41" s="16">
        <f t="shared" si="6"/>
        <v>-4789.795999999973</v>
      </c>
      <c r="K41" s="16">
        <v>3088.36</v>
      </c>
      <c r="L41" s="15">
        <f>ABS(K41/J41)</f>
        <v>0.64477902607961124</v>
      </c>
    </row>
    <row r="42" spans="1:12" x14ac:dyDescent="0.25">
      <c r="A42" s="4" t="s">
        <v>43</v>
      </c>
      <c r="B42" s="5">
        <v>35</v>
      </c>
      <c r="C42" s="6">
        <v>5</v>
      </c>
      <c r="D42" s="5">
        <v>2455</v>
      </c>
      <c r="E42" s="5">
        <v>1</v>
      </c>
      <c r="F42" s="5">
        <v>2464</v>
      </c>
      <c r="G42" s="12">
        <v>1</v>
      </c>
      <c r="H42" s="19">
        <f t="shared" si="3"/>
        <v>429625</v>
      </c>
      <c r="I42" s="19">
        <f t="shared" si="4"/>
        <v>431200</v>
      </c>
      <c r="J42" s="16">
        <f t="shared" si="6"/>
        <v>1575</v>
      </c>
      <c r="K42" s="16">
        <v>-1550.8400000000006</v>
      </c>
      <c r="L42" s="15">
        <f t="shared" ref="L42:L48" si="7">K42/J42</f>
        <v>-0.98466031746031779</v>
      </c>
    </row>
    <row r="43" spans="1:12" x14ac:dyDescent="0.25">
      <c r="A43" s="4" t="s">
        <v>44</v>
      </c>
      <c r="B43" s="5">
        <v>-94</v>
      </c>
      <c r="C43" s="6">
        <v>10000</v>
      </c>
      <c r="D43" s="5">
        <v>0.70020000000000004</v>
      </c>
      <c r="E43" s="5">
        <v>1</v>
      </c>
      <c r="F43" s="5">
        <v>0.6865</v>
      </c>
      <c r="G43" s="12">
        <v>1</v>
      </c>
      <c r="H43" s="19">
        <f t="shared" si="3"/>
        <v>-658188</v>
      </c>
      <c r="I43" s="19">
        <f t="shared" si="4"/>
        <v>-645310</v>
      </c>
      <c r="J43" s="16">
        <f t="shared" si="6"/>
        <v>12878</v>
      </c>
      <c r="K43" s="16">
        <v>-28542</v>
      </c>
      <c r="L43" s="15">
        <f t="shared" si="7"/>
        <v>-2.2163379406740176</v>
      </c>
    </row>
    <row r="44" spans="1:12" x14ac:dyDescent="0.25">
      <c r="A44" s="4" t="s">
        <v>45</v>
      </c>
      <c r="B44" s="5">
        <v>-18</v>
      </c>
      <c r="C44" s="6">
        <v>100000</v>
      </c>
      <c r="D44" s="5">
        <v>0.58494999999999997</v>
      </c>
      <c r="E44" s="5">
        <v>1</v>
      </c>
      <c r="F44" s="5">
        <v>0.57620000000000005</v>
      </c>
      <c r="G44" s="12">
        <v>1</v>
      </c>
      <c r="H44" s="19">
        <f t="shared" si="3"/>
        <v>-1052910</v>
      </c>
      <c r="I44" s="19">
        <f t="shared" si="4"/>
        <v>-1037160.0000000001</v>
      </c>
      <c r="J44" s="16">
        <f>I44-H44</f>
        <v>15749.999999999884</v>
      </c>
      <c r="K44" s="16">
        <v>2627.5299999999997</v>
      </c>
      <c r="L44" s="15">
        <f t="shared" si="7"/>
        <v>0.1668273015873028</v>
      </c>
    </row>
    <row r="45" spans="1:12" x14ac:dyDescent="0.25">
      <c r="A45" s="4" t="s">
        <v>46</v>
      </c>
      <c r="B45" s="5">
        <v>-14</v>
      </c>
      <c r="C45" s="6">
        <v>125000</v>
      </c>
      <c r="D45" s="5">
        <v>1.2807500000000001</v>
      </c>
      <c r="E45" s="5">
        <v>1</v>
      </c>
      <c r="F45" s="5">
        <v>1.2621</v>
      </c>
      <c r="G45" s="12">
        <v>1</v>
      </c>
      <c r="H45" s="19">
        <f t="shared" si="3"/>
        <v>-2241312.5</v>
      </c>
      <c r="I45" s="19">
        <f t="shared" si="4"/>
        <v>-2208675</v>
      </c>
      <c r="J45" s="16">
        <f t="shared" si="6"/>
        <v>32637.5</v>
      </c>
      <c r="K45" s="16">
        <v>7626.3099999999995</v>
      </c>
      <c r="L45" s="15">
        <f t="shared" si="7"/>
        <v>0.23366710072769054</v>
      </c>
    </row>
    <row r="46" spans="1:12" x14ac:dyDescent="0.25">
      <c r="A46" s="4" t="s">
        <v>47</v>
      </c>
      <c r="B46" s="5">
        <v>-18</v>
      </c>
      <c r="C46" s="6">
        <v>12500000</v>
      </c>
      <c r="D46" s="5">
        <v>6.3270000000000002E-3</v>
      </c>
      <c r="E46" s="5">
        <v>1</v>
      </c>
      <c r="F46" s="5">
        <v>6.2804999999999996E-3</v>
      </c>
      <c r="G46" s="12">
        <v>1</v>
      </c>
      <c r="H46" s="19">
        <f t="shared" si="3"/>
        <v>-1423575</v>
      </c>
      <c r="I46" s="19">
        <f t="shared" si="4"/>
        <v>-1413112.5</v>
      </c>
      <c r="J46" s="16">
        <f t="shared" si="6"/>
        <v>10462.5</v>
      </c>
      <c r="K46" s="16">
        <v>30786.489999999998</v>
      </c>
      <c r="L46" s="15">
        <f t="shared" si="7"/>
        <v>2.9425557945041816</v>
      </c>
    </row>
    <row r="47" spans="1:12" x14ac:dyDescent="0.25">
      <c r="A47" s="4" t="s">
        <v>48</v>
      </c>
      <c r="B47" s="5">
        <v>-18</v>
      </c>
      <c r="C47" s="6">
        <v>62500</v>
      </c>
      <c r="D47" s="5">
        <v>1.3338000000000001</v>
      </c>
      <c r="E47" s="5">
        <v>1</v>
      </c>
      <c r="F47" s="5">
        <v>1.3259000000000001</v>
      </c>
      <c r="G47" s="12">
        <v>1</v>
      </c>
      <c r="H47" s="19">
        <f t="shared" si="3"/>
        <v>-1500525</v>
      </c>
      <c r="I47" s="19">
        <f>(B47*C47*F47)*G47</f>
        <v>-1491637.5</v>
      </c>
      <c r="J47" s="16">
        <f t="shared" si="6"/>
        <v>8887.5</v>
      </c>
      <c r="K47" s="16">
        <v>-1850</v>
      </c>
      <c r="L47" s="15">
        <f t="shared" si="7"/>
        <v>-0.20815752461322082</v>
      </c>
    </row>
    <row r="48" spans="1:12" x14ac:dyDescent="0.25">
      <c r="A48" s="4" t="s">
        <v>49</v>
      </c>
      <c r="B48" s="5">
        <v>-21</v>
      </c>
      <c r="C48" s="6">
        <v>500000</v>
      </c>
      <c r="D48" s="5">
        <v>5.8075000000000002E-2</v>
      </c>
      <c r="E48" s="5">
        <v>1</v>
      </c>
      <c r="F48" s="5">
        <v>5.8000000000000003E-2</v>
      </c>
      <c r="G48" s="12">
        <v>1</v>
      </c>
      <c r="H48" s="19">
        <f t="shared" si="3"/>
        <v>-609787.5</v>
      </c>
      <c r="I48" s="19">
        <f t="shared" si="4"/>
        <v>-609000</v>
      </c>
      <c r="J48" s="16">
        <f t="shared" si="6"/>
        <v>787.5</v>
      </c>
      <c r="K48" s="16">
        <v>-8137.35</v>
      </c>
      <c r="L48" s="15">
        <f t="shared" si="7"/>
        <v>-10.333142857142857</v>
      </c>
    </row>
    <row r="49" spans="1:12" x14ac:dyDescent="0.25">
      <c r="A49" s="4" t="s">
        <v>50</v>
      </c>
      <c r="B49" s="5">
        <v>16</v>
      </c>
      <c r="C49" s="6">
        <v>125000</v>
      </c>
      <c r="D49" s="5">
        <v>183.45</v>
      </c>
      <c r="E49" s="5">
        <v>6.3879999999999996E-3</v>
      </c>
      <c r="F49" s="5">
        <v>183.98</v>
      </c>
      <c r="G49" s="12">
        <v>6.2804999999999996E-3</v>
      </c>
      <c r="H49" s="19">
        <f t="shared" si="3"/>
        <v>2343757.1999999997</v>
      </c>
      <c r="I49" s="19">
        <f t="shared" si="4"/>
        <v>2310972.7799999998</v>
      </c>
      <c r="J49" s="16">
        <f t="shared" si="6"/>
        <v>-32784.419999999925</v>
      </c>
      <c r="K49" s="16">
        <v>-223.05000000001019</v>
      </c>
      <c r="L49" s="15">
        <f>ABS(K49/J49)</f>
        <v>6.8035365579141157E-3</v>
      </c>
    </row>
    <row r="50" spans="1:12" x14ac:dyDescent="0.25">
      <c r="A50" s="4" t="s">
        <v>51</v>
      </c>
      <c r="B50" s="5">
        <v>18</v>
      </c>
      <c r="C50" s="6">
        <v>1000</v>
      </c>
      <c r="D50" s="5">
        <v>99.46</v>
      </c>
      <c r="E50" s="5">
        <v>1</v>
      </c>
      <c r="F50" s="5">
        <v>99.984999999999999</v>
      </c>
      <c r="G50" s="12">
        <v>1</v>
      </c>
      <c r="H50" s="19">
        <f t="shared" si="3"/>
        <v>1790280</v>
      </c>
      <c r="I50" s="19">
        <f t="shared" si="4"/>
        <v>1799730</v>
      </c>
      <c r="J50" s="16">
        <f t="shared" si="6"/>
        <v>9450</v>
      </c>
      <c r="K50" s="16">
        <v>3861.3399999999997</v>
      </c>
      <c r="L50" s="15">
        <f>K50/J50</f>
        <v>0.40860740740740736</v>
      </c>
    </row>
    <row r="51" spans="1:12" x14ac:dyDescent="0.25">
      <c r="A51" s="4" t="s">
        <v>52</v>
      </c>
      <c r="B51" s="5">
        <v>-15</v>
      </c>
      <c r="C51" s="6">
        <v>125000</v>
      </c>
      <c r="D51" s="5">
        <v>1.16195</v>
      </c>
      <c r="E51" s="5">
        <v>1</v>
      </c>
      <c r="F51" s="5">
        <v>1.1550499999999999</v>
      </c>
      <c r="G51" s="12">
        <v>1</v>
      </c>
      <c r="H51" s="19">
        <f t="shared" si="3"/>
        <v>-2178656.25</v>
      </c>
      <c r="I51" s="19">
        <f t="shared" si="4"/>
        <v>-2165718.75</v>
      </c>
      <c r="J51" s="16">
        <f t="shared" si="6"/>
        <v>12937.5</v>
      </c>
      <c r="K51" s="16">
        <v>2718.75</v>
      </c>
      <c r="L51" s="15">
        <f>K51/J51</f>
        <v>0.21014492753623187</v>
      </c>
    </row>
    <row r="52" spans="1:12" x14ac:dyDescent="0.25">
      <c r="A52" s="4" t="s">
        <v>53</v>
      </c>
      <c r="B52" s="5">
        <v>46</v>
      </c>
      <c r="C52" s="6">
        <v>100</v>
      </c>
      <c r="D52" s="5">
        <v>28.6</v>
      </c>
      <c r="E52" s="5">
        <v>1.1634500000000001</v>
      </c>
      <c r="F52" s="5">
        <v>30.15</v>
      </c>
      <c r="G52" s="12">
        <v>1.1550499999999999</v>
      </c>
      <c r="H52" s="19">
        <f t="shared" si="3"/>
        <v>153063.48200000002</v>
      </c>
      <c r="I52" s="19">
        <f t="shared" si="4"/>
        <v>160193.88449999999</v>
      </c>
      <c r="J52" s="16">
        <f t="shared" si="6"/>
        <v>7130.4024999999674</v>
      </c>
      <c r="K52" s="16">
        <v>5821.9400000000005</v>
      </c>
      <c r="L52" s="15">
        <f>K52/J52</f>
        <v>0.81649528199846044</v>
      </c>
    </row>
    <row r="53" spans="1:12" x14ac:dyDescent="0.25">
      <c r="A53" s="7" t="s">
        <v>54</v>
      </c>
      <c r="B53" s="8">
        <v>57</v>
      </c>
      <c r="C53" s="9">
        <v>100</v>
      </c>
      <c r="D53" s="8">
        <v>25.46</v>
      </c>
      <c r="E53" s="8">
        <v>1</v>
      </c>
      <c r="F53" s="8">
        <v>28.42</v>
      </c>
      <c r="G53" s="13">
        <v>1</v>
      </c>
      <c r="H53" s="19">
        <f t="shared" si="3"/>
        <v>145122</v>
      </c>
      <c r="I53" s="19">
        <f t="shared" si="4"/>
        <v>161994</v>
      </c>
      <c r="J53" s="16">
        <f t="shared" si="6"/>
        <v>16872</v>
      </c>
      <c r="K53" s="16">
        <v>-8384.48</v>
      </c>
      <c r="L53" s="15">
        <f>K53/J53</f>
        <v>-0.49694642010431483</v>
      </c>
    </row>
    <row r="54" spans="1:12" x14ac:dyDescent="0.25">
      <c r="I54" s="19">
        <f t="shared" si="4"/>
        <v>0</v>
      </c>
      <c r="J54" s="22">
        <v>11.23</v>
      </c>
      <c r="K54" s="14">
        <v>-0.1548471452270036</v>
      </c>
      <c r="L54" s="15">
        <f>K54/J54</f>
        <v>-1.3788703938290615E-2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Pina</dc:creator>
  <cp:lastModifiedBy>Gabriela Tejada</cp:lastModifiedBy>
  <dcterms:created xsi:type="dcterms:W3CDTF">2026-04-17T15:20:50Z</dcterms:created>
  <dcterms:modified xsi:type="dcterms:W3CDTF">2026-04-22T13:52:43Z</dcterms:modified>
</cp:coreProperties>
</file>